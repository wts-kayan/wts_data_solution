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Cartographie_Impacts" sheetId="3" state="visible" r:id="rId5"/>
    <sheet name="Chiffrage_Détaillé" sheetId="4" state="visible" r:id="rId6"/>
    <sheet name="Risq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<sst xmlns="http://schemas.openxmlformats.org/spreadsheetml/2006/main" count="312" uniqueCount="221">
  <si>
    <t xml:space="preserve">Macro-chiffrage — Migration Cloudera → Cloud privé DMZR (K8s / Airflow)</t>
  </si>
  <si>
    <t xml:space="preserve">Équipe Stress Test — Chaîne IHM / IFRS9 / CRR3 / Projection / TS EAD FWD</t>
  </si>
  <si>
    <t xml:space="preserve">Indicateurs clés</t>
  </si>
  <si>
    <t xml:space="preserve">Répartition par lot</t>
  </si>
  <si>
    <t xml:space="preserve">Charge totale retenue (JH)</t>
  </si>
  <si>
    <t xml:space="preserve">Lot</t>
  </si>
  <si>
    <t xml:space="preserve">JH</t>
  </si>
  <si>
    <t xml:space="preserve">Coût (€)</t>
  </si>
  <si>
    <t xml:space="preserve">Fourchette basse (JH)</t>
  </si>
  <si>
    <t xml:space="preserve">LOT 1 — Cadrage &amp; Architecture</t>
  </si>
  <si>
    <t xml:space="preserve">Fourchette haute (JH)</t>
  </si>
  <si>
    <t xml:space="preserve">LOT 2 — Infrastructure &amp; Plateforme</t>
  </si>
  <si>
    <t xml:space="preserve">TJM moyen pondéré</t>
  </si>
  <si>
    <t xml:space="preserve">LOT 3 — Migration applicative Spark</t>
  </si>
  <si>
    <t xml:space="preserve">Coût hors aléas</t>
  </si>
  <si>
    <t xml:space="preserve">LOT 4 — Orchestration (Oozie → Airflow)</t>
  </si>
  <si>
    <t xml:space="preserve">Provision aléas</t>
  </si>
  <si>
    <t xml:space="preserve">LOT 5 — Application IHM (Back / Front)</t>
  </si>
  <si>
    <t xml:space="preserve">COÛT TOTAL ESTIMÉ</t>
  </si>
  <si>
    <t xml:space="preserve">LOT 6 — Migration des données</t>
  </si>
  <si>
    <t xml:space="preserve">LOT 7 — Recette &amp; Validation</t>
  </si>
  <si>
    <t xml:space="preserve">Fourchette de coût (aléas inclus)</t>
  </si>
  <si>
    <t xml:space="preserve">LOT 8 — Bascule &amp; Run</t>
  </si>
  <si>
    <t xml:space="preserve">Estimation basse</t>
  </si>
  <si>
    <t xml:space="preserve">LOT 9 — Pilotage &amp; Transverse</t>
  </si>
  <si>
    <t xml:space="preserve">Estimation haute</t>
  </si>
  <si>
    <t xml:space="preserve">TOTAL</t>
  </si>
  <si>
    <t xml:space="preserve">Hypothèses de chiffrage</t>
  </si>
  <si>
    <t xml:space="preserve">Paramètre</t>
  </si>
  <si>
    <t xml:space="preserve">Valeur</t>
  </si>
  <si>
    <t xml:space="preserve">Commentaire</t>
  </si>
  <si>
    <t xml:space="preserve">TJM moyen pondéré (€/JH)</t>
  </si>
  <si>
    <t xml:space="preserve">Taux journalier moyen mixte (architecte / dev / QA / PMO) — à ajuster</t>
  </si>
  <si>
    <t xml:space="preserve">Provision aléas &amp; risques (%)</t>
  </si>
  <si>
    <t xml:space="preserve">Marge d'incertitude appliquée sur le coût hors aléas (macro-chiffrage)</t>
  </si>
  <si>
    <t xml:space="preserve">Nombre de chaînes de traitement métier</t>
  </si>
  <si>
    <t xml:space="preserve">IFRS9, CRR3, Projection, TS EAD FWD, + autres (informatif)</t>
  </si>
  <si>
    <t xml:space="preserve">Devise</t>
  </si>
  <si>
    <t xml:space="preserve">EUR</t>
  </si>
  <si>
    <t xml:space="preserve">Périmètre &amp; exclusions</t>
  </si>
  <si>
    <t xml:space="preserve">•  Chiffrage macro (Rough Order of Magnitude) : fourchette basse/haute + valeur retenue par tâche.</t>
  </si>
  <si>
    <t xml:space="preserve">•  Inclus : cadrage, plateforme K8s, migration Spark, réécriture orchestration (Oozie→Airflow), refonte IHM, migration données, recette (dont non-régression réglementaire), bascule, run initial.</t>
  </si>
  <si>
    <t xml:space="preserve">•  Exclus : coûts d'infrastructure/licences (compute, stockage objet, réseau DMZR), coûts matériels, coûts de maintenance récurrente au-delà de l'hypercare.</t>
  </si>
  <si>
    <t xml:space="preserve">•  Le PMO est chiffré en tant que lot (LOT 9) et non en pourcentage, pour éviter les doubles comptes.</t>
  </si>
  <si>
    <t xml:space="preserve">•  Les JH 'retenu' sont des estimations expertes situées dans la fourchette min/max (cellules bleues = saisie modifiable).</t>
  </si>
  <si>
    <t xml:space="preserve">Cartographie des impacts — Cloudera → Cloud privé DMZR (Kubernetes / Airflow)</t>
  </si>
  <si>
    <t xml:space="preserve">Composant / Brique</t>
  </si>
  <si>
    <t xml:space="preserve">Techno source (Cloudera)</t>
  </si>
  <si>
    <t xml:space="preserve">Techno cible (Cloud privé DMZR)</t>
  </si>
  <si>
    <t xml:space="preserve">Nature de l'impact</t>
  </si>
  <si>
    <t xml:space="preserve">Complexité</t>
  </si>
  <si>
    <t xml:space="preserve">Moteur de calcul</t>
  </si>
  <si>
    <t xml:space="preserve">Spark on YARN</t>
  </si>
  <si>
    <t xml:space="preserve">Spark on Kubernetes (Spark Operator / SparkApplication CRD)</t>
  </si>
  <si>
    <t xml:space="preserve">JARs quasi inchangés ; conteneurisation, images, service de shuffle, retuning mémoire.</t>
  </si>
  <si>
    <t xml:space="preserve">Moyenne</t>
  </si>
  <si>
    <t xml:space="preserve">LOT 3</t>
  </si>
  <si>
    <t xml:space="preserve">Orchestration</t>
  </si>
  <si>
    <t xml:space="preserve">Oozie (workflows XML, coordinators)</t>
  </si>
  <si>
    <t xml:space="preserve">Airflow (DAGs Python)</t>
  </si>
  <si>
    <t xml:space="preserve">Réécriture complète : chaque spark-action → opérateur K8s ; coordinators → schedules.</t>
  </si>
  <si>
    <t xml:space="preserve">Forte</t>
  </si>
  <si>
    <t xml:space="preserve">LOT 4</t>
  </si>
  <si>
    <t xml:space="preserve">Stockage données</t>
  </si>
  <si>
    <t xml:space="preserve">HDFS</t>
  </si>
  <si>
    <t xml:space="preserve">Stockage objet S3-compatible (MinIO / Ceph RGW)</t>
  </si>
  <si>
    <t xml:space="preserve">Chemins hdfs:// → s3a:// ; impacte jobs, locations Hive et parcours fichiers IHM.</t>
  </si>
  <si>
    <t xml:space="preserve">LOT 3/6</t>
  </si>
  <si>
    <t xml:space="preserve">Métastore</t>
  </si>
  <si>
    <t xml:space="preserve">Hive Metastore (CDP)</t>
  </si>
  <si>
    <t xml:space="preserve">Hive Metastore autonome sur K8s + BDD (PostgreSQL)</t>
  </si>
  <si>
    <t xml:space="preserve">Redéploiement HMS ; repointage des locations des tables externes ORC.</t>
  </si>
  <si>
    <t xml:space="preserve">LOT 2/6</t>
  </si>
  <si>
    <t xml:space="preserve">Ordonnancement ressources</t>
  </si>
  <si>
    <t xml:space="preserve">Files de capacité YARN (Capacity Scheduler)</t>
  </si>
  <si>
    <t xml:space="preserve">Scheduler batch Yunikorn (files hiérarchiques)</t>
  </si>
  <si>
    <t xml:space="preserve">K8s n'a pas de notion de file ; Yunikorn restitue la sémantique de capacité YARN.</t>
  </si>
  <si>
    <t xml:space="preserve">LOT 2/5</t>
  </si>
  <si>
    <t xml:space="preserve">Contrôle capacité file (IHM)</t>
  </si>
  <si>
    <t xml:space="preserve">YARN ResourceManager REST API</t>
  </si>
  <si>
    <t xml:space="preserve">API Yunikorn / API K8s</t>
  </si>
  <si>
    <t xml:space="preserve">Le back IHM interroge Yunikorn au lieu de YARN avant lancement.</t>
  </si>
  <si>
    <t xml:space="preserve">LOT 5</t>
  </si>
  <si>
    <t xml:space="preserve">IHM — Back (lancement jobs)</t>
  </si>
  <si>
    <t xml:space="preserve">Client Oozie REST</t>
  </si>
  <si>
    <t xml:space="preserve">Client Airflow REST API (trigger DAG)</t>
  </si>
  <si>
    <t xml:space="preserve">Refonte de la couche d'intégration d'orchestration.</t>
  </si>
  <si>
    <t xml:space="preserve">IHM — Back (fichiers)</t>
  </si>
  <si>
    <t xml:space="preserve">WebHDFS (upload / parcours)</t>
  </si>
  <si>
    <t xml:space="preserve">SDK S3 (upload / parcours bucket)</t>
  </si>
  <si>
    <t xml:space="preserve">Refonte upload et navigation fichiers ; sélection fichiers stockés → bucket.</t>
  </si>
  <si>
    <t xml:space="preserve">IHM — Front</t>
  </si>
  <si>
    <t xml:space="preserve">Écrans lancement &amp; sélection fichiers</t>
  </si>
  <si>
    <t xml:space="preserve">Idem (adaptation parcours/objets)</t>
  </si>
  <si>
    <t xml:space="preserve">Logique majoritairement conservée ; adaptations d'intégration.</t>
  </si>
  <si>
    <t xml:space="preserve">Sécurité</t>
  </si>
  <si>
    <t xml:space="preserve">Kerberos (bout-en-bout)</t>
  </si>
  <si>
    <t xml:space="preserve">Service Accounts + Secrets K8s (Kerberos résiduel HMS/store)</t>
  </si>
  <si>
    <t xml:space="preserve">Modèle d'authentification revu ; point sensible en zone DMZR.</t>
  </si>
  <si>
    <t xml:space="preserve">LOT 1/5</t>
  </si>
  <si>
    <t xml:space="preserve">CI/CD &amp; packaging</t>
  </si>
  <si>
    <t xml:space="preserve">Build JAR + dépôt HDFS</t>
  </si>
  <si>
    <t xml:space="preserve">Build images conteneurs + registry + déploiement K8s</t>
  </si>
  <si>
    <t xml:space="preserve">Nouvelle chaîne de build/livraison des applications.</t>
  </si>
  <si>
    <t xml:space="preserve">LOT 2</t>
  </si>
  <si>
    <t xml:space="preserve">Applications métier</t>
  </si>
  <si>
    <t xml:space="preserve">IFRS9, CRR3, Projection, TS EAD FWD, +autres</t>
  </si>
  <si>
    <t xml:space="preserve">Idem (adaptées K8s/S3A)</t>
  </si>
  <si>
    <t xml:space="preserve">Adaptation + validation iso-résultats par chaîne (enjeu réglementaire).</t>
  </si>
  <si>
    <t xml:space="preserve">LOT 3/7</t>
  </si>
  <si>
    <t xml:space="preserve">Chiffrage détaillé (macro / ROM)</t>
  </si>
  <si>
    <t xml:space="preserve">Lot / Tâche</t>
  </si>
  <si>
    <t xml:space="preserve">Composant (source → cible)</t>
  </si>
  <si>
    <t xml:space="preserve">JH min</t>
  </si>
  <si>
    <t xml:space="preserve">JH max</t>
  </si>
  <si>
    <t xml:space="preserve">JH retenu</t>
  </si>
  <si>
    <t xml:space="preserve">TJM (€)</t>
  </si>
  <si>
    <t xml:space="preserve">   Étude d'architecture cible (K8s, réseau DMZR, stockage objet)</t>
  </si>
  <si>
    <t xml:space="preserve">Cluster / réseau / stockage</t>
  </si>
  <si>
    <t xml:space="preserve">   Design détaillé orchestration Airflow (framework DAG, conventions)</t>
  </si>
  <si>
    <t xml:space="preserve">Oozie → Airflow</t>
  </si>
  <si>
    <t xml:space="preserve">   Design sécurité (Service Accounts, Secrets, Kerberos HMS/store)</t>
  </si>
  <si>
    <t xml:space="preserve">Kerberos → SA/Secrets</t>
  </si>
  <si>
    <t xml:space="preserve">   Design stockage objet &amp; stratégie de migration des données</t>
  </si>
  <si>
    <t xml:space="preserve">HDFS → S3</t>
  </si>
  <si>
    <t xml:space="preserve">Sous-total LOT 1</t>
  </si>
  <si>
    <t xml:space="preserve">   Provisioning cluster K8s, namespaces, ResourceQuota</t>
  </si>
  <si>
    <t xml:space="preserve">—</t>
  </si>
  <si>
    <t xml:space="preserve">   Déploiement Spark Operator + construction des images Spark</t>
  </si>
  <si>
    <t xml:space="preserve">Spark on K8s</t>
  </si>
  <si>
    <t xml:space="preserve">   Déploiement Yunikorn (scheduler batch + files hiérarchiques)</t>
  </si>
  <si>
    <t xml:space="preserve">Capacity Sched. → Yunikorn</t>
  </si>
  <si>
    <t xml:space="preserve">   Déploiement Hive Metastore autonome + base (PostgreSQL)</t>
  </si>
  <si>
    <t xml:space="preserve">HMS CDP → HMS K8s</t>
  </si>
  <si>
    <t xml:space="preserve">   Mise en place stockage objet S3 (MinIO/Ceph) + buckets/policies</t>
  </si>
  <si>
    <t xml:space="preserve">   Chaîne CI/CD (build images, registry, déploiement)</t>
  </si>
  <si>
    <t xml:space="preserve">Build JAR → images</t>
  </si>
  <si>
    <t xml:space="preserve">Sous-total LOT 2</t>
  </si>
  <si>
    <t xml:space="preserve">   Adaptation soumission Spark YARN → K8s (SparkApplication CRD)</t>
  </si>
  <si>
    <t xml:space="preserve">Spark on YARN → K8s</t>
  </si>
  <si>
    <t xml:space="preserve">   Adaptation des chemins HDFS → S3A dans les jobs</t>
  </si>
  <si>
    <t xml:space="preserve">HDFS → S3A</t>
  </si>
  <si>
    <t xml:space="preserve">   Tuning mémoire/shuffle K8s (dont résolution OOM EXPORT_MATRICES)</t>
  </si>
  <si>
    <t xml:space="preserve">YARN overhead → pod limits</t>
  </si>
  <si>
    <t xml:space="preserve">   Adaptation tables Hive externes (repointage des locations)</t>
  </si>
  <si>
    <t xml:space="preserve">Locations ORC</t>
  </si>
  <si>
    <t xml:space="preserve">Faible</t>
  </si>
  <si>
    <t xml:space="preserve">   Adaptation &amp; validation par application (IFRS9, CRR3, Projection, TS EAD FWD, +autres)</t>
  </si>
  <si>
    <t xml:space="preserve">Sous-total LOT 3</t>
  </si>
  <si>
    <t xml:space="preserve">   Framework &amp; templates DAG, opérateurs standard (SparkKubernetesOperator)</t>
  </si>
  <si>
    <t xml:space="preserve">   Réécriture des workflows par chaîne de traitement</t>
  </si>
  <si>
    <t xml:space="preserve">Workflows XML → DAGs</t>
  </si>
  <si>
    <t xml:space="preserve">   Migration coordinators → schedules / triggers</t>
  </si>
  <si>
    <t xml:space="preserve">Coordinators → schedule</t>
  </si>
  <si>
    <t xml:space="preserve">   Gestion des dépendances &amp; reprise sur erreur</t>
  </si>
  <si>
    <t xml:space="preserve">Sous-total LOT 4</t>
  </si>
  <si>
    <t xml:space="preserve">   Refonte client orchestration (Oozie REST → Airflow REST API)</t>
  </si>
  <si>
    <t xml:space="preserve">Oozie REST → Airflow API</t>
  </si>
  <si>
    <t xml:space="preserve">   Refonte accès fichiers (WebHDFS → SDK S3 : upload / parcours)</t>
  </si>
  <si>
    <t xml:space="preserve">WebHDFS → SDK S3</t>
  </si>
  <si>
    <t xml:space="preserve">   Refonte contrôle capacité file (YARN RM API → Yunikorn API)</t>
  </si>
  <si>
    <t xml:space="preserve">YARN RM → Yunikorn</t>
  </si>
  <si>
    <t xml:space="preserve">   Adaptation Front (parcours fichiers, écrans de lancement)</t>
  </si>
  <si>
    <t xml:space="preserve">Front</t>
  </si>
  <si>
    <t xml:space="preserve">   Authentification &amp; sécurisation IHM en zone DMZR</t>
  </si>
  <si>
    <t xml:space="preserve">Sous-total LOT 5</t>
  </si>
  <si>
    <t xml:space="preserve">   Transfert des données HDFS → stockage objet</t>
  </si>
  <si>
    <t xml:space="preserve">   Migration du métastore Hive + repointage des locations</t>
  </si>
  <si>
    <t xml:space="preserve">HMS</t>
  </si>
  <si>
    <t xml:space="preserve">   Réconciliation &amp; contrôle d'intégrité des données</t>
  </si>
  <si>
    <t xml:space="preserve">Contrôle</t>
  </si>
  <si>
    <t xml:space="preserve">Sous-total LOT 6</t>
  </si>
  <si>
    <t xml:space="preserve">   Tests unitaires &amp; intégration technique</t>
  </si>
  <si>
    <t xml:space="preserve">   Recette fonctionnelle (UAT) par chaîne</t>
  </si>
  <si>
    <t xml:space="preserve">   Non-régression réglementaire (iso-résultats stress tests)</t>
  </si>
  <si>
    <t xml:space="preserve">Enjeu réglementaire</t>
  </si>
  <si>
    <t xml:space="preserve">   Tests de performance &amp; charge</t>
  </si>
  <si>
    <t xml:space="preserve">   Tests de bascule / reprise (PRA/PCA)</t>
  </si>
  <si>
    <t xml:space="preserve">Sous-total LOT 7</t>
  </si>
  <si>
    <t xml:space="preserve">   Préparation &amp; répétition de bascule</t>
  </si>
  <si>
    <t xml:space="preserve">   Bascule en production</t>
  </si>
  <si>
    <t xml:space="preserve">   Support renforcé (hypercare) post-bascule</t>
  </si>
  <si>
    <t xml:space="preserve">   Décommissionnement Cloudera</t>
  </si>
  <si>
    <t xml:space="preserve">Sous-total LOT 8</t>
  </si>
  <si>
    <t xml:space="preserve">   Gestion de projet / PMO</t>
  </si>
  <si>
    <t xml:space="preserve">   Documentation &amp; transfert de compétences</t>
  </si>
  <si>
    <t xml:space="preserve">   Conduite du changement &amp; formation métier (IHM)</t>
  </si>
  <si>
    <t xml:space="preserve">Sous-total LOT 9</t>
  </si>
  <si>
    <t xml:space="preserve">TOTAL charge &amp; coût (hors aléas)</t>
  </si>
  <si>
    <t xml:space="preserve">Provision aléas &amp; risques</t>
  </si>
  <si>
    <t xml:space="preserve">TOTAL avec aléas</t>
  </si>
  <si>
    <t xml:space="preserve">Principaux risques &amp; points de vigilance</t>
  </si>
  <si>
    <t xml:space="preserve">Risque</t>
  </si>
  <si>
    <t xml:space="preserve">Description</t>
  </si>
  <si>
    <t xml:space="preserve">Impact</t>
  </si>
  <si>
    <t xml:space="preserve">Probabilité</t>
  </si>
  <si>
    <t xml:space="preserve">Mitigation</t>
  </si>
  <si>
    <t xml:space="preserve">Non-régression réglementaire</t>
  </si>
  <si>
    <t xml:space="preserve">Résultats stress test non iso après migration (S3A/K8s, ordres de calcul).</t>
  </si>
  <si>
    <t xml:space="preserve">Élevé</t>
  </si>
  <si>
    <t xml:space="preserve">Campagne de non-régression exhaustive, jeux de données figés, comparaison bit-à-bit.</t>
  </si>
  <si>
    <t xml:space="preserve">Sécurité en zone DMZR</t>
  </si>
  <si>
    <t xml:space="preserve">Modèle Kerberos → SA/Secrets ; contraintes réseau/flux DMZR.</t>
  </si>
  <si>
    <t xml:space="preserve">Élevée</t>
  </si>
  <si>
    <t xml:space="preserve">Design sécurité amont, validation RSSI, PoC d'authentification HMS/stockage.</t>
  </si>
  <si>
    <t xml:space="preserve">Perte de data-locality (S3)</t>
  </si>
  <si>
    <t xml:space="preserve">Dégradation de performance vs HDFS sur certains traitements.</t>
  </si>
  <si>
    <t xml:space="preserve">Moyen</t>
  </si>
  <si>
    <t xml:space="preserve">Tests de perf, tuning I/O, cache, dimensionnement compute.</t>
  </si>
  <si>
    <t xml:space="preserve">Sémantique des files de capacité</t>
  </si>
  <si>
    <t xml:space="preserve">Comportement Yunikorn ≠ Capacity Scheduler YARN.</t>
  </si>
  <si>
    <t xml:space="preserve">PoC Yunikorn, calibrage des files, adaptation du contrôle IHM.</t>
  </si>
  <si>
    <t xml:space="preserve">Réécriture Oozie → Airflow</t>
  </si>
  <si>
    <t xml:space="preserve">Volume et complexité des workflows sous-estimés.</t>
  </si>
  <si>
    <t xml:space="preserve">Templates DAG réutilisables, réécriture par lot, revue croisée.</t>
  </si>
  <si>
    <t xml:space="preserve">OOM driver sur K8s</t>
  </si>
  <si>
    <t xml:space="preserve">Pods OOM-killed (EXPORT_MATRICES) sans buffer overhead YARN.</t>
  </si>
  <si>
    <t xml:space="preserve">memoryOverheadFactor, checkpoints, écritures intermédiaires, maxPlanStringLength.</t>
  </si>
  <si>
    <t xml:space="preserve">Dépendance équipes infra/RSSI</t>
  </si>
  <si>
    <t xml:space="preserve">Provisioning K8s, stockage objet, flux DMZR hors périmètre équipe.</t>
  </si>
  <si>
    <t xml:space="preserve">Cadrage RACI amont, jalons de dépendance, plan de commande infra.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</si>
</sst>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JH&quot;"/>
    <numFmt numFmtId="166" formatCode="0"/>
    <numFmt numFmtId="167" formatCode="#,##0&quot; €&quot;"/>
    <numFmt numFmtId="168" formatCode="0.0%"/>
    <numFmt numFmtId="169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BDD7EE"/>
        <bgColor rgb="FFD6DCE5"/>
      </patternFill>
    </fill>
    <fill>
      <patternFill patternType="solid">
        <fgColor rgb="FFFFF2CC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D6DCE5"/>
        <bgColor rgb="FFD9D9D9"/>
      </patternFill>
    </fill>
    <fill>
      <patternFill patternType="solid">
        <fgColor rgb="FFC6EFCE"/>
        <bgColor rgb="FFD6DCE5"/>
      </patternFill>
    </fill>
    <fill>
      <patternFill patternType="solid">
        <fgColor rgb="FF1F3864"/>
        <bgColor rgb="FF2E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D6DCE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par lot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Synthèse!F5</c:f>
              <c:strCache>
                <c:ptCount val="1"/>
                <c:pt idx="0">
                  <c:v>Coût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Synthèse!$D$6:$D$14</c:f>
              <c:strCache>
                <c:ptCount val="9"/>
                <c:pt idx="0">
                  <c:v>LOT 1 — Cadrage &amp; Architecture</c:v>
                </c:pt>
                <c:pt idx="1">
                  <c:v>LOT 2 — Infrastructure &amp; Plateforme</c:v>
                </c:pt>
                <c:pt idx="2">
                  <c:v>LOT 3 — Migration applicative Spark</c:v>
                </c:pt>
                <c:pt idx="3">
                  <c:v>LOT 4 — Orchestration (Oozie → Airflow)</c:v>
                </c:pt>
                <c:pt idx="4">
                  <c:v>LOT 5 — Application IHM (Back / Front)</c:v>
                </c:pt>
                <c:pt idx="5">
                  <c:v>LOT 6 — Migration des données</c:v>
                </c:pt>
                <c:pt idx="6">
                  <c:v>LOT 7 — Recette &amp; Validation</c:v>
                </c:pt>
                <c:pt idx="7">
                  <c:v>LOT 8 — Bascule &amp; Run</c:v>
                </c:pt>
                <c:pt idx="8">
                  <c:v>LOT 9 — Pilotage &amp; Transverse</c:v>
                </c:pt>
              </c:strCache>
            </c:strRef>
          </c:cat>
          <c:val>
            <c:numRef>
              <c:f>Synthèse!$F$6:$F$14</c:f>
              <c:numCache>
                <c:formatCode>#,##0" €"</c:formatCode>
                <c:ptCount val="9"/>
                <c:pt idx="0">
                  <c:v>39650</c:v>
                </c:pt>
                <c:pt idx="1">
                  <c:v>57200</c:v>
                </c:pt>
                <c:pt idx="2">
                  <c:v>55250</c:v>
                </c:pt>
                <c:pt idx="3">
                  <c:v>49400</c:v>
                </c:pt>
                <c:pt idx="4">
                  <c:v>51350</c:v>
                </c:pt>
                <c:pt idx="5">
                  <c:v>26650</c:v>
                </c:pt>
                <c:pt idx="6">
                  <c:v>71500</c:v>
                </c:pt>
                <c:pt idx="7">
                  <c:v>30550</c:v>
                </c:pt>
                <c:pt idx="8">
                  <c:v>46800</c:v>
                </c:pt>
              </c:numCache>
            </c:numRef>
          </c:val>
        </c:ser>
        <c:gapWidth val="150"/>
        <c:overlap val="0"/>
        <c:axId val="76573160"/>
        <c:axId val="65081613"/>
      </c:barChart>
      <c:catAx>
        <c:axId val="765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81613"/>
        <c:crosses val="autoZero"/>
        <c:auto val="1"/>
        <c:lblAlgn val="ctr"/>
        <c:lblOffset val="100"/>
        <c:noMultiLvlLbl val="0"/>
      </c:catAx>
      <c:valAx>
        <c:axId val="65081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731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145440</xdr:rowOff>
    </xdr:from>
    <xdr:to>
      <xdr:col>3</xdr:col>
      <xdr:colOff>2587680</xdr:colOff>
      <xdr:row>32</xdr:row>
      <xdr:rowOff>156960</xdr:rowOff>
    </xdr:to>
    <xdr:graphicFrame>
      <xdr:nvGraphicFramePr>
        <xdr:cNvPr id="0" name="Chart 1"/>
        <xdr:cNvGraphicFramePr/>
      </xdr:nvGraphicFramePr>
      <xdr:xfrm>
        <a:off x="0" y="323856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Chiffrage_Détaillé!F62</f>
        <v>659</v>
      </c>
      <c r="D5" s="6" t="s">
        <v>5</v>
      </c>
      <c r="E5" s="6" t="s">
        <v>6</v>
      </c>
      <c r="F5" s="6" t="s">
        <v>7</v>
      </c>
    </row>
    <row r="6" customFormat="false" ht="15" hidden="false" customHeight="false" outlineLevel="0" collapsed="false">
      <c r="A6" s="4" t="s">
        <v>8</v>
      </c>
      <c r="B6" s="5" t="n">
        <f aca="false">Chiffrage_Détaillé!D62</f>
        <v>475</v>
      </c>
      <c r="D6" s="7" t="s">
        <v>9</v>
      </c>
      <c r="E6" s="8" t="n">
        <f aca="false">Chiffrage_Détaillé!F9</f>
        <v>61</v>
      </c>
      <c r="F6" s="9" t="n">
        <f aca="false">Chiffrage_Détaillé!H9</f>
        <v>39650</v>
      </c>
    </row>
    <row r="7" customFormat="false" ht="15" hidden="false" customHeight="false" outlineLevel="0" collapsed="false">
      <c r="A7" s="4" t="s">
        <v>10</v>
      </c>
      <c r="B7" s="5" t="n">
        <f aca="false">Chiffrage_Détaillé!E62</f>
        <v>843</v>
      </c>
      <c r="D7" s="7" t="s">
        <v>11</v>
      </c>
      <c r="E7" s="8" t="n">
        <f aca="false">Chiffrage_Détaillé!F17</f>
        <v>88</v>
      </c>
      <c r="F7" s="9" t="n">
        <f aca="false">Chiffrage_Détaillé!H17</f>
        <v>57200</v>
      </c>
    </row>
    <row r="8" customFormat="false" ht="15" hidden="false" customHeight="false" outlineLevel="0" collapsed="false">
      <c r="A8" s="4" t="s">
        <v>12</v>
      </c>
      <c r="B8" s="10" t="n">
        <f aca="false">Hypothèses!$B$4</f>
        <v>650</v>
      </c>
      <c r="D8" s="7" t="s">
        <v>13</v>
      </c>
      <c r="E8" s="8" t="n">
        <f aca="false">Chiffrage_Détaillé!F24</f>
        <v>85</v>
      </c>
      <c r="F8" s="9" t="n">
        <f aca="false">Chiffrage_Détaillé!H24</f>
        <v>55250</v>
      </c>
    </row>
    <row r="9" customFormat="false" ht="15" hidden="false" customHeight="false" outlineLevel="0" collapsed="false">
      <c r="A9" s="4" t="s">
        <v>14</v>
      </c>
      <c r="B9" s="10" t="n">
        <f aca="false">Chiffrage_Détaillé!H62</f>
        <v>428350</v>
      </c>
      <c r="D9" s="7" t="s">
        <v>15</v>
      </c>
      <c r="E9" s="8" t="n">
        <f aca="false">Chiffrage_Détaillé!F30</f>
        <v>76</v>
      </c>
      <c r="F9" s="9" t="n">
        <f aca="false">Chiffrage_Détaillé!H30</f>
        <v>49400</v>
      </c>
    </row>
    <row r="10" customFormat="false" ht="15" hidden="false" customHeight="false" outlineLevel="0" collapsed="false">
      <c r="A10" s="4" t="s">
        <v>16</v>
      </c>
      <c r="B10" s="10" t="n">
        <f aca="false">Chiffrage_Détaillé!H63</f>
        <v>64252.5</v>
      </c>
      <c r="D10" s="7" t="s">
        <v>17</v>
      </c>
      <c r="E10" s="8" t="n">
        <f aca="false">Chiffrage_Détaillé!F37</f>
        <v>79</v>
      </c>
      <c r="F10" s="9" t="n">
        <f aca="false">Chiffrage_Détaillé!H37</f>
        <v>51350</v>
      </c>
    </row>
    <row r="11" customFormat="false" ht="15" hidden="false" customHeight="false" outlineLevel="0" collapsed="false">
      <c r="A11" s="11" t="s">
        <v>18</v>
      </c>
      <c r="B11" s="12" t="n">
        <f aca="false">Chiffrage_Détaillé!H64</f>
        <v>492602.5</v>
      </c>
      <c r="D11" s="7" t="s">
        <v>19</v>
      </c>
      <c r="E11" s="8" t="n">
        <f aca="false">Chiffrage_Détaillé!F42</f>
        <v>41</v>
      </c>
      <c r="F11" s="9" t="n">
        <f aca="false">Chiffrage_Détaillé!H42</f>
        <v>26650</v>
      </c>
    </row>
    <row r="12" customFormat="false" ht="15" hidden="false" customHeight="false" outlineLevel="0" collapsed="false">
      <c r="D12" s="7" t="s">
        <v>20</v>
      </c>
      <c r="E12" s="8" t="n">
        <f aca="false">Chiffrage_Détaillé!F49</f>
        <v>110</v>
      </c>
      <c r="F12" s="9" t="n">
        <f aca="false">Chiffrage_Détaillé!H49</f>
        <v>71500</v>
      </c>
    </row>
    <row r="13" customFormat="false" ht="15" hidden="false" customHeight="false" outlineLevel="0" collapsed="false">
      <c r="A13" s="13" t="s">
        <v>21</v>
      </c>
      <c r="D13" s="7" t="s">
        <v>22</v>
      </c>
      <c r="E13" s="8" t="n">
        <f aca="false">Chiffrage_Détaillé!F55</f>
        <v>47</v>
      </c>
      <c r="F13" s="9" t="n">
        <f aca="false">Chiffrage_Détaillé!H55</f>
        <v>30550</v>
      </c>
    </row>
    <row r="14" customFormat="false" ht="15" hidden="false" customHeight="false" outlineLevel="0" collapsed="false">
      <c r="A14" s="14" t="s">
        <v>23</v>
      </c>
      <c r="B14" s="10" t="n">
        <f aca="false">Chiffrage_Détaillé!D62*Hypothèses!$B$4*(1+Hypothèses!$B$5)</f>
        <v>355062.5</v>
      </c>
      <c r="D14" s="7" t="s">
        <v>24</v>
      </c>
      <c r="E14" s="8" t="n">
        <f aca="false">Chiffrage_Détaillé!F60</f>
        <v>72</v>
      </c>
      <c r="F14" s="9" t="n">
        <f aca="false">Chiffrage_Détaillé!H60</f>
        <v>46800</v>
      </c>
    </row>
    <row r="15" customFormat="false" ht="15" hidden="false" customHeight="false" outlineLevel="0" collapsed="false">
      <c r="A15" s="14" t="s">
        <v>25</v>
      </c>
      <c r="B15" s="10" t="n">
        <f aca="false">Chiffrage_Détaillé!E62*Hypothèses!$B$4*(1+Hypothèses!$B$5)</f>
        <v>630142.5</v>
      </c>
      <c r="D15" s="15" t="s">
        <v>26</v>
      </c>
      <c r="E15" s="16" t="n">
        <f aca="false">SUM(E6:E14)</f>
        <v>659</v>
      </c>
      <c r="F15" s="17" t="n">
        <f aca="false">SUM(F6:F14)</f>
        <v>428350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8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</row>
    <row r="4" customFormat="false" ht="15" hidden="false" customHeight="false" outlineLevel="0" collapsed="false">
      <c r="A4" s="14" t="s">
        <v>31</v>
      </c>
      <c r="B4" s="19" t="n">
        <v>650</v>
      </c>
      <c r="C4" s="20" t="s">
        <v>32</v>
      </c>
    </row>
    <row r="5" customFormat="false" ht="15" hidden="false" customHeight="false" outlineLevel="0" collapsed="false">
      <c r="A5" s="14" t="s">
        <v>33</v>
      </c>
      <c r="B5" s="21" t="n">
        <v>0.15</v>
      </c>
      <c r="C5" s="20" t="s">
        <v>34</v>
      </c>
    </row>
    <row r="6" customFormat="false" ht="15" hidden="false" customHeight="false" outlineLevel="0" collapsed="false">
      <c r="A6" s="14" t="s">
        <v>35</v>
      </c>
      <c r="B6" s="22" t="n">
        <v>5</v>
      </c>
      <c r="C6" s="20" t="s">
        <v>36</v>
      </c>
    </row>
    <row r="7" customFormat="false" ht="15" hidden="false" customHeight="false" outlineLevel="0" collapsed="false">
      <c r="A7" s="14" t="s">
        <v>37</v>
      </c>
      <c r="B7" s="23" t="s">
        <v>38</v>
      </c>
      <c r="C7" s="20"/>
    </row>
    <row r="9" customFormat="false" ht="15" hidden="false" customHeight="false" outlineLevel="0" collapsed="false">
      <c r="A9" s="3" t="s">
        <v>39</v>
      </c>
    </row>
    <row r="10" customFormat="false" ht="15" hidden="false" customHeight="true" outlineLevel="0" collapsed="false">
      <c r="A10" s="24" t="s">
        <v>40</v>
      </c>
      <c r="B10" s="24"/>
      <c r="C10" s="24"/>
    </row>
    <row r="11" customFormat="false" ht="22.35" hidden="false" customHeight="true" outlineLevel="0" collapsed="false">
      <c r="A11" s="24" t="s">
        <v>41</v>
      </c>
      <c r="B11" s="24"/>
      <c r="C11" s="24"/>
    </row>
    <row r="12" customFormat="false" ht="15" hidden="false" customHeight="true" outlineLevel="0" collapsed="false">
      <c r="A12" s="24" t="s">
        <v>42</v>
      </c>
      <c r="B12" s="24"/>
      <c r="C12" s="24"/>
    </row>
    <row r="13" customFormat="false" ht="15" hidden="false" customHeight="true" outlineLevel="0" collapsed="false">
      <c r="A13" s="24" t="s">
        <v>43</v>
      </c>
      <c r="B13" s="24"/>
      <c r="C13" s="24"/>
    </row>
    <row r="14" customFormat="false" ht="15" hidden="false" customHeight="true" outlineLevel="0" collapsed="false">
      <c r="A14" s="24" t="s">
        <v>44</v>
      </c>
      <c r="B14" s="24"/>
      <c r="C14" s="24"/>
    </row>
  </sheetData>
  <mergeCells count="5">
    <mergeCell ref="A10:C10"/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25" t="s">
        <v>45</v>
      </c>
      <c r="B1" s="25"/>
      <c r="C1" s="25"/>
      <c r="D1" s="25"/>
      <c r="E1" s="25"/>
      <c r="F1" s="25"/>
    </row>
    <row r="3" customFormat="false" ht="1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</v>
      </c>
    </row>
    <row r="4" customFormat="false" ht="22.35" hidden="false" customHeight="false" outlineLevel="0" collapsed="false">
      <c r="A4" s="26" t="s">
        <v>51</v>
      </c>
      <c r="B4" s="27" t="s">
        <v>52</v>
      </c>
      <c r="C4" s="27" t="s">
        <v>53</v>
      </c>
      <c r="D4" s="27" t="s">
        <v>54</v>
      </c>
      <c r="E4" s="28" t="s">
        <v>55</v>
      </c>
      <c r="F4" s="29" t="s">
        <v>56</v>
      </c>
    </row>
    <row r="5" customFormat="false" ht="22.35" hidden="false" customHeight="false" outlineLevel="0" collapsed="false">
      <c r="A5" s="26" t="s">
        <v>57</v>
      </c>
      <c r="B5" s="27" t="s">
        <v>58</v>
      </c>
      <c r="C5" s="27" t="s">
        <v>59</v>
      </c>
      <c r="D5" s="27" t="s">
        <v>60</v>
      </c>
      <c r="E5" s="30" t="s">
        <v>61</v>
      </c>
      <c r="F5" s="29" t="s">
        <v>62</v>
      </c>
    </row>
    <row r="6" customFormat="false" ht="22.35" hidden="false" customHeight="false" outlineLevel="0" collapsed="false">
      <c r="A6" s="26" t="s">
        <v>63</v>
      </c>
      <c r="B6" s="27" t="s">
        <v>64</v>
      </c>
      <c r="C6" s="27" t="s">
        <v>65</v>
      </c>
      <c r="D6" s="27" t="s">
        <v>66</v>
      </c>
      <c r="E6" s="30" t="s">
        <v>61</v>
      </c>
      <c r="F6" s="29" t="s">
        <v>67</v>
      </c>
    </row>
    <row r="7" customFormat="false" ht="22.35" hidden="false" customHeight="false" outlineLevel="0" collapsed="false">
      <c r="A7" s="26" t="s">
        <v>68</v>
      </c>
      <c r="B7" s="27" t="s">
        <v>69</v>
      </c>
      <c r="C7" s="27" t="s">
        <v>70</v>
      </c>
      <c r="D7" s="27" t="s">
        <v>71</v>
      </c>
      <c r="E7" s="28" t="s">
        <v>55</v>
      </c>
      <c r="F7" s="29" t="s">
        <v>72</v>
      </c>
    </row>
    <row r="8" customFormat="false" ht="22.35" hidden="false" customHeight="false" outlineLevel="0" collapsed="false">
      <c r="A8" s="26" t="s">
        <v>73</v>
      </c>
      <c r="B8" s="27" t="s">
        <v>74</v>
      </c>
      <c r="C8" s="27" t="s">
        <v>75</v>
      </c>
      <c r="D8" s="27" t="s">
        <v>76</v>
      </c>
      <c r="E8" s="30" t="s">
        <v>61</v>
      </c>
      <c r="F8" s="29" t="s">
        <v>77</v>
      </c>
    </row>
    <row r="9" customFormat="false" ht="15" hidden="false" customHeight="false" outlineLevel="0" collapsed="false">
      <c r="A9" s="26" t="s">
        <v>78</v>
      </c>
      <c r="B9" s="27" t="s">
        <v>79</v>
      </c>
      <c r="C9" s="27" t="s">
        <v>80</v>
      </c>
      <c r="D9" s="27" t="s">
        <v>81</v>
      </c>
      <c r="E9" s="28" t="s">
        <v>55</v>
      </c>
      <c r="F9" s="29" t="s">
        <v>82</v>
      </c>
    </row>
    <row r="10" customFormat="false" ht="15" hidden="false" customHeight="false" outlineLevel="0" collapsed="false">
      <c r="A10" s="26" t="s">
        <v>83</v>
      </c>
      <c r="B10" s="27" t="s">
        <v>84</v>
      </c>
      <c r="C10" s="27" t="s">
        <v>85</v>
      </c>
      <c r="D10" s="27" t="s">
        <v>86</v>
      </c>
      <c r="E10" s="30" t="s">
        <v>61</v>
      </c>
      <c r="F10" s="29" t="s">
        <v>82</v>
      </c>
    </row>
    <row r="11" customFormat="false" ht="22.35" hidden="false" customHeight="false" outlineLevel="0" collapsed="false">
      <c r="A11" s="26" t="s">
        <v>87</v>
      </c>
      <c r="B11" s="27" t="s">
        <v>88</v>
      </c>
      <c r="C11" s="27" t="s">
        <v>89</v>
      </c>
      <c r="D11" s="27" t="s">
        <v>90</v>
      </c>
      <c r="E11" s="30" t="s">
        <v>61</v>
      </c>
      <c r="F11" s="29" t="s">
        <v>82</v>
      </c>
    </row>
    <row r="12" customFormat="false" ht="15" hidden="false" customHeight="false" outlineLevel="0" collapsed="false">
      <c r="A12" s="26" t="s">
        <v>91</v>
      </c>
      <c r="B12" s="27" t="s">
        <v>92</v>
      </c>
      <c r="C12" s="27" t="s">
        <v>93</v>
      </c>
      <c r="D12" s="27" t="s">
        <v>94</v>
      </c>
      <c r="E12" s="28" t="s">
        <v>55</v>
      </c>
      <c r="F12" s="29" t="s">
        <v>82</v>
      </c>
    </row>
    <row r="13" customFormat="false" ht="22.35" hidden="false" customHeight="false" outlineLevel="0" collapsed="false">
      <c r="A13" s="26" t="s">
        <v>95</v>
      </c>
      <c r="B13" s="27" t="s">
        <v>96</v>
      </c>
      <c r="C13" s="27" t="s">
        <v>97</v>
      </c>
      <c r="D13" s="27" t="s">
        <v>98</v>
      </c>
      <c r="E13" s="30" t="s">
        <v>61</v>
      </c>
      <c r="F13" s="29" t="s">
        <v>99</v>
      </c>
    </row>
    <row r="14" customFormat="false" ht="22.35" hidden="false" customHeight="false" outlineLevel="0" collapsed="false">
      <c r="A14" s="26" t="s">
        <v>100</v>
      </c>
      <c r="B14" s="27" t="s">
        <v>101</v>
      </c>
      <c r="C14" s="27" t="s">
        <v>102</v>
      </c>
      <c r="D14" s="27" t="s">
        <v>103</v>
      </c>
      <c r="E14" s="28" t="s">
        <v>55</v>
      </c>
      <c r="F14" s="29" t="s">
        <v>104</v>
      </c>
    </row>
    <row r="15" customFormat="false" ht="22.35" hidden="false" customHeight="false" outlineLevel="0" collapsed="false">
      <c r="A15" s="26" t="s">
        <v>105</v>
      </c>
      <c r="B15" s="27" t="s">
        <v>106</v>
      </c>
      <c r="C15" s="27" t="s">
        <v>107</v>
      </c>
      <c r="D15" s="27" t="s">
        <v>108</v>
      </c>
      <c r="E15" s="30" t="s">
        <v>61</v>
      </c>
      <c r="F15" s="29" t="s">
        <v>109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25" t="s">
        <v>110</v>
      </c>
      <c r="B1" s="25"/>
      <c r="C1" s="25"/>
      <c r="D1" s="25"/>
      <c r="E1" s="25"/>
      <c r="F1" s="25"/>
      <c r="G1" s="25"/>
      <c r="H1" s="25"/>
    </row>
    <row r="3" customFormat="false" ht="15" hidden="false" customHeight="false" outlineLevel="0" collapsed="false">
      <c r="A3" s="6" t="s">
        <v>111</v>
      </c>
      <c r="B3" s="6" t="s">
        <v>112</v>
      </c>
      <c r="C3" s="6" t="s">
        <v>50</v>
      </c>
      <c r="D3" s="6" t="s">
        <v>113</v>
      </c>
      <c r="E3" s="6" t="s">
        <v>114</v>
      </c>
      <c r="F3" s="6" t="s">
        <v>115</v>
      </c>
      <c r="G3" s="6" t="s">
        <v>116</v>
      </c>
      <c r="H3" s="6" t="s">
        <v>7</v>
      </c>
    </row>
    <row r="4" customFormat="false" ht="15" hidden="false" customHeight="false" outlineLevel="0" collapsed="false">
      <c r="A4" s="31" t="s">
        <v>9</v>
      </c>
      <c r="B4" s="32"/>
      <c r="C4" s="32"/>
      <c r="D4" s="32"/>
      <c r="E4" s="32"/>
      <c r="F4" s="32"/>
      <c r="G4" s="32"/>
      <c r="H4" s="32"/>
    </row>
    <row r="5" customFormat="false" ht="22.35" hidden="false" customHeight="false" outlineLevel="0" collapsed="false">
      <c r="A5" s="27" t="s">
        <v>117</v>
      </c>
      <c r="B5" s="33" t="s">
        <v>118</v>
      </c>
      <c r="C5" s="30" t="s">
        <v>61</v>
      </c>
      <c r="D5" s="34" t="n">
        <v>15</v>
      </c>
      <c r="E5" s="34" t="n">
        <v>25</v>
      </c>
      <c r="F5" s="34" t="n">
        <v>20</v>
      </c>
      <c r="G5" s="35" t="n">
        <f aca="false">Hypothèses!$B$4</f>
        <v>650</v>
      </c>
      <c r="H5" s="9" t="n">
        <f aca="false">F5*G5</f>
        <v>13000</v>
      </c>
    </row>
    <row r="6" customFormat="false" ht="22.35" hidden="false" customHeight="false" outlineLevel="0" collapsed="false">
      <c r="A6" s="27" t="s">
        <v>119</v>
      </c>
      <c r="B6" s="33" t="s">
        <v>120</v>
      </c>
      <c r="C6" s="28" t="s">
        <v>55</v>
      </c>
      <c r="D6" s="34" t="n">
        <v>10</v>
      </c>
      <c r="E6" s="34" t="n">
        <v>18</v>
      </c>
      <c r="F6" s="34" t="n">
        <v>14</v>
      </c>
      <c r="G6" s="35" t="n">
        <f aca="false">Hypothèses!$B$4</f>
        <v>650</v>
      </c>
      <c r="H6" s="9" t="n">
        <f aca="false">F6*G6</f>
        <v>9100</v>
      </c>
    </row>
    <row r="7" customFormat="false" ht="22.35" hidden="false" customHeight="false" outlineLevel="0" collapsed="false">
      <c r="A7" s="27" t="s">
        <v>121</v>
      </c>
      <c r="B7" s="33" t="s">
        <v>122</v>
      </c>
      <c r="C7" s="30" t="s">
        <v>61</v>
      </c>
      <c r="D7" s="34" t="n">
        <v>10</v>
      </c>
      <c r="E7" s="34" t="n">
        <v>20</v>
      </c>
      <c r="F7" s="34" t="n">
        <v>15</v>
      </c>
      <c r="G7" s="35" t="n">
        <f aca="false">Hypothèses!$B$4</f>
        <v>650</v>
      </c>
      <c r="H7" s="9" t="n">
        <f aca="false">F7*G7</f>
        <v>9750</v>
      </c>
    </row>
    <row r="8" customFormat="false" ht="22.35" hidden="false" customHeight="false" outlineLevel="0" collapsed="false">
      <c r="A8" s="27" t="s">
        <v>123</v>
      </c>
      <c r="B8" s="33" t="s">
        <v>124</v>
      </c>
      <c r="C8" s="28" t="s">
        <v>55</v>
      </c>
      <c r="D8" s="34" t="n">
        <v>8</v>
      </c>
      <c r="E8" s="34" t="n">
        <v>15</v>
      </c>
      <c r="F8" s="34" t="n">
        <v>12</v>
      </c>
      <c r="G8" s="35" t="n">
        <f aca="false">Hypothèses!$B$4</f>
        <v>650</v>
      </c>
      <c r="H8" s="9" t="n">
        <f aca="false">F8*G8</f>
        <v>7800</v>
      </c>
    </row>
    <row r="9" customFormat="false" ht="15" hidden="false" customHeight="false" outlineLevel="0" collapsed="false">
      <c r="A9" s="15" t="s">
        <v>125</v>
      </c>
      <c r="B9" s="36"/>
      <c r="C9" s="36"/>
      <c r="D9" s="16" t="n">
        <f aca="false">SUM(D5:D8)</f>
        <v>43</v>
      </c>
      <c r="E9" s="16" t="n">
        <f aca="false">SUM(E5:E8)</f>
        <v>78</v>
      </c>
      <c r="F9" s="16" t="n">
        <f aca="false">SUM(F5:F8)</f>
        <v>61</v>
      </c>
      <c r="G9" s="36"/>
      <c r="H9" s="37" t="n">
        <f aca="false">SUM(H5:H8)</f>
        <v>39650</v>
      </c>
    </row>
    <row r="10" customFormat="false" ht="15" hidden="false" customHeight="false" outlineLevel="0" collapsed="false">
      <c r="A10" s="31" t="s">
        <v>11</v>
      </c>
      <c r="B10" s="32"/>
      <c r="C10" s="32"/>
      <c r="D10" s="32"/>
      <c r="E10" s="32"/>
      <c r="F10" s="32"/>
      <c r="G10" s="32"/>
      <c r="H10" s="32"/>
    </row>
    <row r="11" customFormat="false" ht="15" hidden="false" customHeight="false" outlineLevel="0" collapsed="false">
      <c r="A11" s="27" t="s">
        <v>126</v>
      </c>
      <c r="B11" s="33" t="s">
        <v>127</v>
      </c>
      <c r="C11" s="30" t="s">
        <v>61</v>
      </c>
      <c r="D11" s="34" t="n">
        <v>15</v>
      </c>
      <c r="E11" s="34" t="n">
        <v>25</v>
      </c>
      <c r="F11" s="34" t="n">
        <v>20</v>
      </c>
      <c r="G11" s="35" t="n">
        <f aca="false">Hypothèses!$B$4</f>
        <v>650</v>
      </c>
      <c r="H11" s="9" t="n">
        <f aca="false">F11*G11</f>
        <v>13000</v>
      </c>
    </row>
    <row r="12" customFormat="false" ht="22.35" hidden="false" customHeight="false" outlineLevel="0" collapsed="false">
      <c r="A12" s="27" t="s">
        <v>128</v>
      </c>
      <c r="B12" s="33" t="s">
        <v>129</v>
      </c>
      <c r="C12" s="28" t="s">
        <v>55</v>
      </c>
      <c r="D12" s="34" t="n">
        <v>10</v>
      </c>
      <c r="E12" s="34" t="n">
        <v>18</v>
      </c>
      <c r="F12" s="34" t="n">
        <v>14</v>
      </c>
      <c r="G12" s="35" t="n">
        <f aca="false">Hypothèses!$B$4</f>
        <v>650</v>
      </c>
      <c r="H12" s="9" t="n">
        <f aca="false">F12*G12</f>
        <v>9100</v>
      </c>
    </row>
    <row r="13" customFormat="false" ht="22.35" hidden="false" customHeight="false" outlineLevel="0" collapsed="false">
      <c r="A13" s="27" t="s">
        <v>130</v>
      </c>
      <c r="B13" s="33" t="s">
        <v>131</v>
      </c>
      <c r="C13" s="30" t="s">
        <v>61</v>
      </c>
      <c r="D13" s="34" t="n">
        <v>10</v>
      </c>
      <c r="E13" s="34" t="n">
        <v>18</v>
      </c>
      <c r="F13" s="34" t="n">
        <v>14</v>
      </c>
      <c r="G13" s="35" t="n">
        <f aca="false">Hypothèses!$B$4</f>
        <v>650</v>
      </c>
      <c r="H13" s="9" t="n">
        <f aca="false">F13*G13</f>
        <v>9100</v>
      </c>
    </row>
    <row r="14" customFormat="false" ht="22.35" hidden="false" customHeight="false" outlineLevel="0" collapsed="false">
      <c r="A14" s="27" t="s">
        <v>132</v>
      </c>
      <c r="B14" s="33" t="s">
        <v>133</v>
      </c>
      <c r="C14" s="28" t="s">
        <v>55</v>
      </c>
      <c r="D14" s="34" t="n">
        <v>10</v>
      </c>
      <c r="E14" s="34" t="n">
        <v>15</v>
      </c>
      <c r="F14" s="34" t="n">
        <v>12</v>
      </c>
      <c r="G14" s="35" t="n">
        <f aca="false">Hypothèses!$B$4</f>
        <v>650</v>
      </c>
      <c r="H14" s="9" t="n">
        <f aca="false">F14*G14</f>
        <v>7800</v>
      </c>
    </row>
    <row r="15" customFormat="false" ht="22.35" hidden="false" customHeight="false" outlineLevel="0" collapsed="false">
      <c r="A15" s="27" t="s">
        <v>134</v>
      </c>
      <c r="B15" s="33" t="s">
        <v>124</v>
      </c>
      <c r="C15" s="28" t="s">
        <v>55</v>
      </c>
      <c r="D15" s="34" t="n">
        <v>10</v>
      </c>
      <c r="E15" s="34" t="n">
        <v>18</v>
      </c>
      <c r="F15" s="34" t="n">
        <v>14</v>
      </c>
      <c r="G15" s="35" t="n">
        <f aca="false">Hypothèses!$B$4</f>
        <v>650</v>
      </c>
      <c r="H15" s="9" t="n">
        <f aca="false">F15*G15</f>
        <v>9100</v>
      </c>
    </row>
    <row r="16" customFormat="false" ht="15" hidden="false" customHeight="false" outlineLevel="0" collapsed="false">
      <c r="A16" s="27" t="s">
        <v>135</v>
      </c>
      <c r="B16" s="33" t="s">
        <v>136</v>
      </c>
      <c r="C16" s="28" t="s">
        <v>55</v>
      </c>
      <c r="D16" s="34" t="n">
        <v>10</v>
      </c>
      <c r="E16" s="34" t="n">
        <v>18</v>
      </c>
      <c r="F16" s="34" t="n">
        <v>14</v>
      </c>
      <c r="G16" s="35" t="n">
        <f aca="false">Hypothèses!$B$4</f>
        <v>650</v>
      </c>
      <c r="H16" s="9" t="n">
        <f aca="false">F16*G16</f>
        <v>9100</v>
      </c>
    </row>
    <row r="17" customFormat="false" ht="15" hidden="false" customHeight="false" outlineLevel="0" collapsed="false">
      <c r="A17" s="15" t="s">
        <v>137</v>
      </c>
      <c r="B17" s="36"/>
      <c r="C17" s="36"/>
      <c r="D17" s="16" t="n">
        <f aca="false">SUM(D11:D16)</f>
        <v>65</v>
      </c>
      <c r="E17" s="16" t="n">
        <f aca="false">SUM(E11:E16)</f>
        <v>112</v>
      </c>
      <c r="F17" s="16" t="n">
        <f aca="false">SUM(F11:F16)</f>
        <v>88</v>
      </c>
      <c r="G17" s="36"/>
      <c r="H17" s="37" t="n">
        <f aca="false">SUM(H11:H16)</f>
        <v>57200</v>
      </c>
    </row>
    <row r="18" customFormat="false" ht="15" hidden="false" customHeight="false" outlineLevel="0" collapsed="false">
      <c r="A18" s="31" t="s">
        <v>13</v>
      </c>
      <c r="B18" s="32"/>
      <c r="C18" s="32"/>
      <c r="D18" s="32"/>
      <c r="E18" s="32"/>
      <c r="F18" s="32"/>
      <c r="G18" s="32"/>
      <c r="H18" s="32"/>
    </row>
    <row r="19" customFormat="false" ht="22.35" hidden="false" customHeight="false" outlineLevel="0" collapsed="false">
      <c r="A19" s="27" t="s">
        <v>138</v>
      </c>
      <c r="B19" s="33" t="s">
        <v>139</v>
      </c>
      <c r="C19" s="28" t="s">
        <v>55</v>
      </c>
      <c r="D19" s="34" t="n">
        <v>8</v>
      </c>
      <c r="E19" s="34" t="n">
        <v>14</v>
      </c>
      <c r="F19" s="34" t="n">
        <v>11</v>
      </c>
      <c r="G19" s="35" t="n">
        <f aca="false">Hypothèses!$B$4</f>
        <v>650</v>
      </c>
      <c r="H19" s="9" t="n">
        <f aca="false">F19*G19</f>
        <v>7150</v>
      </c>
    </row>
    <row r="20" customFormat="false" ht="15" hidden="false" customHeight="false" outlineLevel="0" collapsed="false">
      <c r="A20" s="27" t="s">
        <v>140</v>
      </c>
      <c r="B20" s="33" t="s">
        <v>141</v>
      </c>
      <c r="C20" s="28" t="s">
        <v>55</v>
      </c>
      <c r="D20" s="34" t="n">
        <v>10</v>
      </c>
      <c r="E20" s="34" t="n">
        <v>16</v>
      </c>
      <c r="F20" s="34" t="n">
        <v>13</v>
      </c>
      <c r="G20" s="35" t="n">
        <f aca="false">Hypothèses!$B$4</f>
        <v>650</v>
      </c>
      <c r="H20" s="9" t="n">
        <f aca="false">F20*G20</f>
        <v>8450</v>
      </c>
    </row>
    <row r="21" customFormat="false" ht="22.35" hidden="false" customHeight="false" outlineLevel="0" collapsed="false">
      <c r="A21" s="27" t="s">
        <v>142</v>
      </c>
      <c r="B21" s="33" t="s">
        <v>143</v>
      </c>
      <c r="C21" s="30" t="s">
        <v>61</v>
      </c>
      <c r="D21" s="34" t="n">
        <v>10</v>
      </c>
      <c r="E21" s="34" t="n">
        <v>18</v>
      </c>
      <c r="F21" s="34" t="n">
        <v>14</v>
      </c>
      <c r="G21" s="35" t="n">
        <f aca="false">Hypothèses!$B$4</f>
        <v>650</v>
      </c>
      <c r="H21" s="9" t="n">
        <f aca="false">F21*G21</f>
        <v>9100</v>
      </c>
    </row>
    <row r="22" customFormat="false" ht="15" hidden="false" customHeight="false" outlineLevel="0" collapsed="false">
      <c r="A22" s="27" t="s">
        <v>144</v>
      </c>
      <c r="B22" s="33" t="s">
        <v>145</v>
      </c>
      <c r="C22" s="38" t="s">
        <v>146</v>
      </c>
      <c r="D22" s="34" t="n">
        <v>5</v>
      </c>
      <c r="E22" s="34" t="n">
        <v>10</v>
      </c>
      <c r="F22" s="34" t="n">
        <v>7</v>
      </c>
      <c r="G22" s="35" t="n">
        <f aca="false">Hypothèses!$B$4</f>
        <v>650</v>
      </c>
      <c r="H22" s="9" t="n">
        <f aca="false">F22*G22</f>
        <v>4550</v>
      </c>
    </row>
    <row r="23" customFormat="false" ht="22.35" hidden="false" customHeight="false" outlineLevel="0" collapsed="false">
      <c r="A23" s="27" t="s">
        <v>147</v>
      </c>
      <c r="B23" s="33" t="s">
        <v>105</v>
      </c>
      <c r="C23" s="30" t="s">
        <v>61</v>
      </c>
      <c r="D23" s="34" t="n">
        <v>30</v>
      </c>
      <c r="E23" s="34" t="n">
        <v>50</v>
      </c>
      <c r="F23" s="34" t="n">
        <v>40</v>
      </c>
      <c r="G23" s="35" t="n">
        <f aca="false">Hypothèses!$B$4</f>
        <v>650</v>
      </c>
      <c r="H23" s="9" t="n">
        <f aca="false">F23*G23</f>
        <v>26000</v>
      </c>
    </row>
    <row r="24" customFormat="false" ht="15" hidden="false" customHeight="false" outlineLevel="0" collapsed="false">
      <c r="A24" s="15" t="s">
        <v>148</v>
      </c>
      <c r="B24" s="36"/>
      <c r="C24" s="36"/>
      <c r="D24" s="16" t="n">
        <f aca="false">SUM(D19:D23)</f>
        <v>63</v>
      </c>
      <c r="E24" s="16" t="n">
        <f aca="false">SUM(E19:E23)</f>
        <v>108</v>
      </c>
      <c r="F24" s="16" t="n">
        <f aca="false">SUM(F19:F23)</f>
        <v>85</v>
      </c>
      <c r="G24" s="36"/>
      <c r="H24" s="37" t="n">
        <f aca="false">SUM(H19:H23)</f>
        <v>55250</v>
      </c>
    </row>
    <row r="25" customFormat="false" ht="15" hidden="false" customHeight="false" outlineLevel="0" collapsed="false">
      <c r="A25" s="31" t="s">
        <v>15</v>
      </c>
      <c r="B25" s="32"/>
      <c r="C25" s="32"/>
      <c r="D25" s="32"/>
      <c r="E25" s="32"/>
      <c r="F25" s="32"/>
      <c r="G25" s="32"/>
      <c r="H25" s="32"/>
    </row>
    <row r="26" customFormat="false" ht="22.35" hidden="false" customHeight="false" outlineLevel="0" collapsed="false">
      <c r="A26" s="27" t="s">
        <v>149</v>
      </c>
      <c r="B26" s="33" t="s">
        <v>120</v>
      </c>
      <c r="C26" s="28" t="s">
        <v>55</v>
      </c>
      <c r="D26" s="34" t="n">
        <v>10</v>
      </c>
      <c r="E26" s="34" t="n">
        <v>18</v>
      </c>
      <c r="F26" s="34" t="n">
        <v>14</v>
      </c>
      <c r="G26" s="35" t="n">
        <f aca="false">Hypothèses!$B$4</f>
        <v>650</v>
      </c>
      <c r="H26" s="9" t="n">
        <f aca="false">F26*G26</f>
        <v>9100</v>
      </c>
    </row>
    <row r="27" customFormat="false" ht="15" hidden="false" customHeight="false" outlineLevel="0" collapsed="false">
      <c r="A27" s="27" t="s">
        <v>150</v>
      </c>
      <c r="B27" s="33" t="s">
        <v>151</v>
      </c>
      <c r="C27" s="30" t="s">
        <v>61</v>
      </c>
      <c r="D27" s="34" t="n">
        <v>30</v>
      </c>
      <c r="E27" s="34" t="n">
        <v>50</v>
      </c>
      <c r="F27" s="34" t="n">
        <v>40</v>
      </c>
      <c r="G27" s="35" t="n">
        <f aca="false">Hypothèses!$B$4</f>
        <v>650</v>
      </c>
      <c r="H27" s="9" t="n">
        <f aca="false">F27*G27</f>
        <v>26000</v>
      </c>
    </row>
    <row r="28" customFormat="false" ht="15" hidden="false" customHeight="false" outlineLevel="0" collapsed="false">
      <c r="A28" s="27" t="s">
        <v>152</v>
      </c>
      <c r="B28" s="33" t="s">
        <v>153</v>
      </c>
      <c r="C28" s="28" t="s">
        <v>55</v>
      </c>
      <c r="D28" s="34" t="n">
        <v>8</v>
      </c>
      <c r="E28" s="34" t="n">
        <v>14</v>
      </c>
      <c r="F28" s="34" t="n">
        <v>11</v>
      </c>
      <c r="G28" s="35" t="n">
        <f aca="false">Hypothèses!$B$4</f>
        <v>650</v>
      </c>
      <c r="H28" s="9" t="n">
        <f aca="false">F28*G28</f>
        <v>7150</v>
      </c>
    </row>
    <row r="29" customFormat="false" ht="15" hidden="false" customHeight="false" outlineLevel="0" collapsed="false">
      <c r="A29" s="27" t="s">
        <v>154</v>
      </c>
      <c r="B29" s="33" t="s">
        <v>127</v>
      </c>
      <c r="C29" s="28" t="s">
        <v>55</v>
      </c>
      <c r="D29" s="34" t="n">
        <v>8</v>
      </c>
      <c r="E29" s="34" t="n">
        <v>15</v>
      </c>
      <c r="F29" s="34" t="n">
        <v>11</v>
      </c>
      <c r="G29" s="35" t="n">
        <f aca="false">Hypothèses!$B$4</f>
        <v>650</v>
      </c>
      <c r="H29" s="9" t="n">
        <f aca="false">F29*G29</f>
        <v>7150</v>
      </c>
    </row>
    <row r="30" customFormat="false" ht="15" hidden="false" customHeight="false" outlineLevel="0" collapsed="false">
      <c r="A30" s="15" t="s">
        <v>155</v>
      </c>
      <c r="B30" s="36"/>
      <c r="C30" s="36"/>
      <c r="D30" s="16" t="n">
        <f aca="false">SUM(D26:D29)</f>
        <v>56</v>
      </c>
      <c r="E30" s="16" t="n">
        <f aca="false">SUM(E26:E29)</f>
        <v>97</v>
      </c>
      <c r="F30" s="16" t="n">
        <f aca="false">SUM(F26:F29)</f>
        <v>76</v>
      </c>
      <c r="G30" s="36"/>
      <c r="H30" s="37" t="n">
        <f aca="false">SUM(H26:H29)</f>
        <v>49400</v>
      </c>
    </row>
    <row r="31" customFormat="false" ht="15" hidden="false" customHeight="false" outlineLevel="0" collapsed="false">
      <c r="A31" s="31" t="s">
        <v>17</v>
      </c>
      <c r="B31" s="32"/>
      <c r="C31" s="32"/>
      <c r="D31" s="32"/>
      <c r="E31" s="32"/>
      <c r="F31" s="32"/>
      <c r="G31" s="32"/>
      <c r="H31" s="32"/>
    </row>
    <row r="32" customFormat="false" ht="22.35" hidden="false" customHeight="false" outlineLevel="0" collapsed="false">
      <c r="A32" s="27" t="s">
        <v>156</v>
      </c>
      <c r="B32" s="33" t="s">
        <v>157</v>
      </c>
      <c r="C32" s="30" t="s">
        <v>61</v>
      </c>
      <c r="D32" s="34" t="n">
        <v>15</v>
      </c>
      <c r="E32" s="34" t="n">
        <v>25</v>
      </c>
      <c r="F32" s="34" t="n">
        <v>20</v>
      </c>
      <c r="G32" s="35" t="n">
        <f aca="false">Hypothèses!$B$4</f>
        <v>650</v>
      </c>
      <c r="H32" s="9" t="n">
        <f aca="false">F32*G32</f>
        <v>13000</v>
      </c>
    </row>
    <row r="33" customFormat="false" ht="22.35" hidden="false" customHeight="false" outlineLevel="0" collapsed="false">
      <c r="A33" s="27" t="s">
        <v>158</v>
      </c>
      <c r="B33" s="33" t="s">
        <v>159</v>
      </c>
      <c r="C33" s="30" t="s">
        <v>61</v>
      </c>
      <c r="D33" s="34" t="n">
        <v>15</v>
      </c>
      <c r="E33" s="34" t="n">
        <v>25</v>
      </c>
      <c r="F33" s="34" t="n">
        <v>20</v>
      </c>
      <c r="G33" s="35" t="n">
        <f aca="false">Hypothèses!$B$4</f>
        <v>650</v>
      </c>
      <c r="H33" s="9" t="n">
        <f aca="false">F33*G33</f>
        <v>13000</v>
      </c>
    </row>
    <row r="34" customFormat="false" ht="22.35" hidden="false" customHeight="false" outlineLevel="0" collapsed="false">
      <c r="A34" s="27" t="s">
        <v>160</v>
      </c>
      <c r="B34" s="33" t="s">
        <v>161</v>
      </c>
      <c r="C34" s="28" t="s">
        <v>55</v>
      </c>
      <c r="D34" s="34" t="n">
        <v>8</v>
      </c>
      <c r="E34" s="34" t="n">
        <v>15</v>
      </c>
      <c r="F34" s="34" t="n">
        <v>12</v>
      </c>
      <c r="G34" s="35" t="n">
        <f aca="false">Hypothèses!$B$4</f>
        <v>650</v>
      </c>
      <c r="H34" s="9" t="n">
        <f aca="false">F34*G34</f>
        <v>7800</v>
      </c>
    </row>
    <row r="35" customFormat="false" ht="15" hidden="false" customHeight="false" outlineLevel="0" collapsed="false">
      <c r="A35" s="27" t="s">
        <v>162</v>
      </c>
      <c r="B35" s="33" t="s">
        <v>163</v>
      </c>
      <c r="C35" s="28" t="s">
        <v>55</v>
      </c>
      <c r="D35" s="34" t="n">
        <v>10</v>
      </c>
      <c r="E35" s="34" t="n">
        <v>20</v>
      </c>
      <c r="F35" s="34" t="n">
        <v>15</v>
      </c>
      <c r="G35" s="35" t="n">
        <f aca="false">Hypothèses!$B$4</f>
        <v>650</v>
      </c>
      <c r="H35" s="9" t="n">
        <f aca="false">F35*G35</f>
        <v>9750</v>
      </c>
    </row>
    <row r="36" customFormat="false" ht="15" hidden="false" customHeight="false" outlineLevel="0" collapsed="false">
      <c r="A36" s="27" t="s">
        <v>164</v>
      </c>
      <c r="B36" s="33" t="s">
        <v>95</v>
      </c>
      <c r="C36" s="28" t="s">
        <v>55</v>
      </c>
      <c r="D36" s="34" t="n">
        <v>8</v>
      </c>
      <c r="E36" s="34" t="n">
        <v>15</v>
      </c>
      <c r="F36" s="34" t="n">
        <v>12</v>
      </c>
      <c r="G36" s="35" t="n">
        <f aca="false">Hypothèses!$B$4</f>
        <v>650</v>
      </c>
      <c r="H36" s="9" t="n">
        <f aca="false">F36*G36</f>
        <v>7800</v>
      </c>
    </row>
    <row r="37" customFormat="false" ht="15" hidden="false" customHeight="false" outlineLevel="0" collapsed="false">
      <c r="A37" s="15" t="s">
        <v>165</v>
      </c>
      <c r="B37" s="36"/>
      <c r="C37" s="36"/>
      <c r="D37" s="16" t="n">
        <f aca="false">SUM(D32:D36)</f>
        <v>56</v>
      </c>
      <c r="E37" s="16" t="n">
        <f aca="false">SUM(E32:E36)</f>
        <v>100</v>
      </c>
      <c r="F37" s="16" t="n">
        <f aca="false">SUM(F32:F36)</f>
        <v>79</v>
      </c>
      <c r="G37" s="36"/>
      <c r="H37" s="37" t="n">
        <f aca="false">SUM(H32:H36)</f>
        <v>51350</v>
      </c>
    </row>
    <row r="38" customFormat="false" ht="15" hidden="false" customHeight="false" outlineLevel="0" collapsed="false">
      <c r="A38" s="31" t="s">
        <v>19</v>
      </c>
      <c r="B38" s="32"/>
      <c r="C38" s="32"/>
      <c r="D38" s="32"/>
      <c r="E38" s="32"/>
      <c r="F38" s="32"/>
      <c r="G38" s="32"/>
      <c r="H38" s="32"/>
    </row>
    <row r="39" customFormat="false" ht="15" hidden="false" customHeight="false" outlineLevel="0" collapsed="false">
      <c r="A39" s="27" t="s">
        <v>166</v>
      </c>
      <c r="B39" s="33" t="s">
        <v>124</v>
      </c>
      <c r="C39" s="28" t="s">
        <v>55</v>
      </c>
      <c r="D39" s="34" t="n">
        <v>10</v>
      </c>
      <c r="E39" s="34" t="n">
        <v>20</v>
      </c>
      <c r="F39" s="34" t="n">
        <v>15</v>
      </c>
      <c r="G39" s="35" t="n">
        <f aca="false">Hypothèses!$B$4</f>
        <v>650</v>
      </c>
      <c r="H39" s="9" t="n">
        <f aca="false">F39*G39</f>
        <v>9750</v>
      </c>
    </row>
    <row r="40" customFormat="false" ht="15" hidden="false" customHeight="false" outlineLevel="0" collapsed="false">
      <c r="A40" s="27" t="s">
        <v>167</v>
      </c>
      <c r="B40" s="33" t="s">
        <v>168</v>
      </c>
      <c r="C40" s="28" t="s">
        <v>55</v>
      </c>
      <c r="D40" s="34" t="n">
        <v>8</v>
      </c>
      <c r="E40" s="34" t="n">
        <v>15</v>
      </c>
      <c r="F40" s="34" t="n">
        <v>12</v>
      </c>
      <c r="G40" s="35" t="n">
        <f aca="false">Hypothèses!$B$4</f>
        <v>650</v>
      </c>
      <c r="H40" s="9" t="n">
        <f aca="false">F40*G40</f>
        <v>7800</v>
      </c>
    </row>
    <row r="41" customFormat="false" ht="15" hidden="false" customHeight="false" outlineLevel="0" collapsed="false">
      <c r="A41" s="27" t="s">
        <v>169</v>
      </c>
      <c r="B41" s="33" t="s">
        <v>170</v>
      </c>
      <c r="C41" s="30" t="s">
        <v>61</v>
      </c>
      <c r="D41" s="34" t="n">
        <v>10</v>
      </c>
      <c r="E41" s="34" t="n">
        <v>18</v>
      </c>
      <c r="F41" s="34" t="n">
        <v>14</v>
      </c>
      <c r="G41" s="35" t="n">
        <f aca="false">Hypothèses!$B$4</f>
        <v>650</v>
      </c>
      <c r="H41" s="9" t="n">
        <f aca="false">F41*G41</f>
        <v>9100</v>
      </c>
    </row>
    <row r="42" customFormat="false" ht="15" hidden="false" customHeight="false" outlineLevel="0" collapsed="false">
      <c r="A42" s="15" t="s">
        <v>171</v>
      </c>
      <c r="B42" s="36"/>
      <c r="C42" s="36"/>
      <c r="D42" s="16" t="n">
        <f aca="false">SUM(D39:D41)</f>
        <v>28</v>
      </c>
      <c r="E42" s="16" t="n">
        <f aca="false">SUM(E39:E41)</f>
        <v>53</v>
      </c>
      <c r="F42" s="16" t="n">
        <f aca="false">SUM(F39:F41)</f>
        <v>41</v>
      </c>
      <c r="G42" s="36"/>
      <c r="H42" s="37" t="n">
        <f aca="false">SUM(H39:H41)</f>
        <v>26650</v>
      </c>
    </row>
    <row r="43" customFormat="false" ht="15" hidden="false" customHeight="false" outlineLevel="0" collapsed="false">
      <c r="A43" s="31" t="s">
        <v>20</v>
      </c>
      <c r="B43" s="32"/>
      <c r="C43" s="32"/>
      <c r="D43" s="32"/>
      <c r="E43" s="32"/>
      <c r="F43" s="32"/>
      <c r="G43" s="32"/>
      <c r="H43" s="32"/>
    </row>
    <row r="44" customFormat="false" ht="15" hidden="false" customHeight="false" outlineLevel="0" collapsed="false">
      <c r="A44" s="27" t="s">
        <v>172</v>
      </c>
      <c r="B44" s="33" t="s">
        <v>127</v>
      </c>
      <c r="C44" s="28" t="s">
        <v>55</v>
      </c>
      <c r="D44" s="34" t="n">
        <v>15</v>
      </c>
      <c r="E44" s="34" t="n">
        <v>25</v>
      </c>
      <c r="F44" s="34" t="n">
        <v>20</v>
      </c>
      <c r="G44" s="35" t="n">
        <f aca="false">Hypothèses!$B$4</f>
        <v>650</v>
      </c>
      <c r="H44" s="9" t="n">
        <f aca="false">F44*G44</f>
        <v>13000</v>
      </c>
    </row>
    <row r="45" customFormat="false" ht="15" hidden="false" customHeight="false" outlineLevel="0" collapsed="false">
      <c r="A45" s="27" t="s">
        <v>173</v>
      </c>
      <c r="B45" s="33" t="s">
        <v>127</v>
      </c>
      <c r="C45" s="30" t="s">
        <v>61</v>
      </c>
      <c r="D45" s="34" t="n">
        <v>20</v>
      </c>
      <c r="E45" s="34" t="n">
        <v>35</v>
      </c>
      <c r="F45" s="34" t="n">
        <v>28</v>
      </c>
      <c r="G45" s="35" t="n">
        <f aca="false">Hypothèses!$B$4</f>
        <v>650</v>
      </c>
      <c r="H45" s="9" t="n">
        <f aca="false">F45*G45</f>
        <v>18200</v>
      </c>
    </row>
    <row r="46" customFormat="false" ht="15" hidden="false" customHeight="false" outlineLevel="0" collapsed="false">
      <c r="A46" s="27" t="s">
        <v>174</v>
      </c>
      <c r="B46" s="33" t="s">
        <v>175</v>
      </c>
      <c r="C46" s="30" t="s">
        <v>61</v>
      </c>
      <c r="D46" s="34" t="n">
        <v>25</v>
      </c>
      <c r="E46" s="34" t="n">
        <v>45</v>
      </c>
      <c r="F46" s="34" t="n">
        <v>35</v>
      </c>
      <c r="G46" s="35" t="n">
        <f aca="false">Hypothèses!$B$4</f>
        <v>650</v>
      </c>
      <c r="H46" s="9" t="n">
        <f aca="false">F46*G46</f>
        <v>22750</v>
      </c>
    </row>
    <row r="47" customFormat="false" ht="15" hidden="false" customHeight="false" outlineLevel="0" collapsed="false">
      <c r="A47" s="27" t="s">
        <v>176</v>
      </c>
      <c r="B47" s="33" t="s">
        <v>127</v>
      </c>
      <c r="C47" s="28" t="s">
        <v>55</v>
      </c>
      <c r="D47" s="34" t="n">
        <v>10</v>
      </c>
      <c r="E47" s="34" t="n">
        <v>20</v>
      </c>
      <c r="F47" s="34" t="n">
        <v>15</v>
      </c>
      <c r="G47" s="35" t="n">
        <f aca="false">Hypothèses!$B$4</f>
        <v>650</v>
      </c>
      <c r="H47" s="9" t="n">
        <f aca="false">F47*G47</f>
        <v>9750</v>
      </c>
    </row>
    <row r="48" customFormat="false" ht="15" hidden="false" customHeight="false" outlineLevel="0" collapsed="false">
      <c r="A48" s="27" t="s">
        <v>177</v>
      </c>
      <c r="B48" s="33" t="s">
        <v>127</v>
      </c>
      <c r="C48" s="28" t="s">
        <v>55</v>
      </c>
      <c r="D48" s="34" t="n">
        <v>8</v>
      </c>
      <c r="E48" s="34" t="n">
        <v>15</v>
      </c>
      <c r="F48" s="34" t="n">
        <v>12</v>
      </c>
      <c r="G48" s="35" t="n">
        <f aca="false">Hypothèses!$B$4</f>
        <v>650</v>
      </c>
      <c r="H48" s="9" t="n">
        <f aca="false">F48*G48</f>
        <v>7800</v>
      </c>
    </row>
    <row r="49" customFormat="false" ht="15" hidden="false" customHeight="false" outlineLevel="0" collapsed="false">
      <c r="A49" s="15" t="s">
        <v>178</v>
      </c>
      <c r="B49" s="36"/>
      <c r="C49" s="36"/>
      <c r="D49" s="16" t="n">
        <f aca="false">SUM(D44:D48)</f>
        <v>78</v>
      </c>
      <c r="E49" s="16" t="n">
        <f aca="false">SUM(E44:E48)</f>
        <v>140</v>
      </c>
      <c r="F49" s="16" t="n">
        <f aca="false">SUM(F44:F48)</f>
        <v>110</v>
      </c>
      <c r="G49" s="36"/>
      <c r="H49" s="37" t="n">
        <f aca="false">SUM(H44:H48)</f>
        <v>71500</v>
      </c>
    </row>
    <row r="50" customFormat="false" ht="15" hidden="false" customHeight="false" outlineLevel="0" collapsed="false">
      <c r="A50" s="31" t="s">
        <v>22</v>
      </c>
      <c r="B50" s="32"/>
      <c r="C50" s="32"/>
      <c r="D50" s="32"/>
      <c r="E50" s="32"/>
      <c r="F50" s="32"/>
      <c r="G50" s="32"/>
      <c r="H50" s="32"/>
    </row>
    <row r="51" customFormat="false" ht="15" hidden="false" customHeight="false" outlineLevel="0" collapsed="false">
      <c r="A51" s="27" t="s">
        <v>179</v>
      </c>
      <c r="B51" s="33" t="s">
        <v>127</v>
      </c>
      <c r="C51" s="28" t="s">
        <v>55</v>
      </c>
      <c r="D51" s="34" t="n">
        <v>8</v>
      </c>
      <c r="E51" s="34" t="n">
        <v>15</v>
      </c>
      <c r="F51" s="34" t="n">
        <v>12</v>
      </c>
      <c r="G51" s="35" t="n">
        <f aca="false">Hypothèses!$B$4</f>
        <v>650</v>
      </c>
      <c r="H51" s="9" t="n">
        <f aca="false">F51*G51</f>
        <v>7800</v>
      </c>
    </row>
    <row r="52" customFormat="false" ht="15" hidden="false" customHeight="false" outlineLevel="0" collapsed="false">
      <c r="A52" s="27" t="s">
        <v>180</v>
      </c>
      <c r="B52" s="33" t="s">
        <v>127</v>
      </c>
      <c r="C52" s="28" t="s">
        <v>55</v>
      </c>
      <c r="D52" s="34" t="n">
        <v>5</v>
      </c>
      <c r="E52" s="34" t="n">
        <v>10</v>
      </c>
      <c r="F52" s="34" t="n">
        <v>8</v>
      </c>
      <c r="G52" s="35" t="n">
        <f aca="false">Hypothèses!$B$4</f>
        <v>650</v>
      </c>
      <c r="H52" s="9" t="n">
        <f aca="false">F52*G52</f>
        <v>5200</v>
      </c>
    </row>
    <row r="53" customFormat="false" ht="15" hidden="false" customHeight="false" outlineLevel="0" collapsed="false">
      <c r="A53" s="27" t="s">
        <v>181</v>
      </c>
      <c r="B53" s="33" t="s">
        <v>127</v>
      </c>
      <c r="C53" s="28" t="s">
        <v>55</v>
      </c>
      <c r="D53" s="34" t="n">
        <v>15</v>
      </c>
      <c r="E53" s="34" t="n">
        <v>25</v>
      </c>
      <c r="F53" s="34" t="n">
        <v>20</v>
      </c>
      <c r="G53" s="35" t="n">
        <f aca="false">Hypothèses!$B$4</f>
        <v>650</v>
      </c>
      <c r="H53" s="9" t="n">
        <f aca="false">F53*G53</f>
        <v>13000</v>
      </c>
    </row>
    <row r="54" customFormat="false" ht="15" hidden="false" customHeight="false" outlineLevel="0" collapsed="false">
      <c r="A54" s="27" t="s">
        <v>182</v>
      </c>
      <c r="B54" s="33" t="s">
        <v>127</v>
      </c>
      <c r="C54" s="38" t="s">
        <v>146</v>
      </c>
      <c r="D54" s="34" t="n">
        <v>5</v>
      </c>
      <c r="E54" s="34" t="n">
        <v>10</v>
      </c>
      <c r="F54" s="34" t="n">
        <v>7</v>
      </c>
      <c r="G54" s="35" t="n">
        <f aca="false">Hypothèses!$B$4</f>
        <v>650</v>
      </c>
      <c r="H54" s="9" t="n">
        <f aca="false">F54*G54</f>
        <v>4550</v>
      </c>
    </row>
    <row r="55" customFormat="false" ht="15" hidden="false" customHeight="false" outlineLevel="0" collapsed="false">
      <c r="A55" s="15" t="s">
        <v>183</v>
      </c>
      <c r="B55" s="36"/>
      <c r="C55" s="36"/>
      <c r="D55" s="16" t="n">
        <f aca="false">SUM(D51:D54)</f>
        <v>33</v>
      </c>
      <c r="E55" s="16" t="n">
        <f aca="false">SUM(E51:E54)</f>
        <v>60</v>
      </c>
      <c r="F55" s="16" t="n">
        <f aca="false">SUM(F51:F54)</f>
        <v>47</v>
      </c>
      <c r="G55" s="36"/>
      <c r="H55" s="37" t="n">
        <f aca="false">SUM(H51:H54)</f>
        <v>30550</v>
      </c>
    </row>
    <row r="56" customFormat="false" ht="15" hidden="false" customHeight="false" outlineLevel="0" collapsed="false">
      <c r="A56" s="31" t="s">
        <v>24</v>
      </c>
      <c r="B56" s="32"/>
      <c r="C56" s="32"/>
      <c r="D56" s="32"/>
      <c r="E56" s="32"/>
      <c r="F56" s="32"/>
      <c r="G56" s="32"/>
      <c r="H56" s="32"/>
    </row>
    <row r="57" customFormat="false" ht="15" hidden="false" customHeight="false" outlineLevel="0" collapsed="false">
      <c r="A57" s="27" t="s">
        <v>184</v>
      </c>
      <c r="B57" s="33" t="s">
        <v>127</v>
      </c>
      <c r="C57" s="29" t="s">
        <v>127</v>
      </c>
      <c r="D57" s="34" t="n">
        <v>35</v>
      </c>
      <c r="E57" s="34" t="n">
        <v>60</v>
      </c>
      <c r="F57" s="34" t="n">
        <v>45</v>
      </c>
      <c r="G57" s="35" t="n">
        <f aca="false">Hypothèses!$B$4</f>
        <v>650</v>
      </c>
      <c r="H57" s="9" t="n">
        <f aca="false">F57*G57</f>
        <v>29250</v>
      </c>
    </row>
    <row r="58" customFormat="false" ht="15" hidden="false" customHeight="false" outlineLevel="0" collapsed="false">
      <c r="A58" s="27" t="s">
        <v>185</v>
      </c>
      <c r="B58" s="33" t="s">
        <v>127</v>
      </c>
      <c r="C58" s="28" t="s">
        <v>55</v>
      </c>
      <c r="D58" s="34" t="n">
        <v>10</v>
      </c>
      <c r="E58" s="34" t="n">
        <v>20</v>
      </c>
      <c r="F58" s="34" t="n">
        <v>15</v>
      </c>
      <c r="G58" s="35" t="n">
        <f aca="false">Hypothèses!$B$4</f>
        <v>650</v>
      </c>
      <c r="H58" s="9" t="n">
        <f aca="false">F58*G58</f>
        <v>9750</v>
      </c>
    </row>
    <row r="59" customFormat="false" ht="15" hidden="false" customHeight="false" outlineLevel="0" collapsed="false">
      <c r="A59" s="27" t="s">
        <v>186</v>
      </c>
      <c r="B59" s="33" t="s">
        <v>127</v>
      </c>
      <c r="C59" s="28" t="s">
        <v>55</v>
      </c>
      <c r="D59" s="34" t="n">
        <v>8</v>
      </c>
      <c r="E59" s="34" t="n">
        <v>15</v>
      </c>
      <c r="F59" s="34" t="n">
        <v>12</v>
      </c>
      <c r="G59" s="35" t="n">
        <f aca="false">Hypothèses!$B$4</f>
        <v>650</v>
      </c>
      <c r="H59" s="9" t="n">
        <f aca="false">F59*G59</f>
        <v>7800</v>
      </c>
    </row>
    <row r="60" customFormat="false" ht="15" hidden="false" customHeight="false" outlineLevel="0" collapsed="false">
      <c r="A60" s="15" t="s">
        <v>187</v>
      </c>
      <c r="B60" s="36"/>
      <c r="C60" s="36"/>
      <c r="D60" s="16" t="n">
        <f aca="false">SUM(D57:D59)</f>
        <v>53</v>
      </c>
      <c r="E60" s="16" t="n">
        <f aca="false">SUM(E57:E59)</f>
        <v>95</v>
      </c>
      <c r="F60" s="16" t="n">
        <f aca="false">SUM(F57:F59)</f>
        <v>72</v>
      </c>
      <c r="G60" s="36"/>
      <c r="H60" s="37" t="n">
        <f aca="false">SUM(H57:H59)</f>
        <v>46800</v>
      </c>
    </row>
    <row r="62" customFormat="false" ht="15" hidden="false" customHeight="false" outlineLevel="0" collapsed="false">
      <c r="A62" s="39" t="s">
        <v>188</v>
      </c>
      <c r="B62" s="40"/>
      <c r="C62" s="40"/>
      <c r="D62" s="41" t="n">
        <f aca="false">D9+D17+D24+D30+D37+D42+D49+D55+D60</f>
        <v>475</v>
      </c>
      <c r="E62" s="41" t="n">
        <f aca="false">E9+E17+E24+E30+E37+E42+E49+E55+E60</f>
        <v>843</v>
      </c>
      <c r="F62" s="41" t="n">
        <f aca="false">F9+F17+F24+F30+F37+F42+F49+F55+F60</f>
        <v>659</v>
      </c>
      <c r="G62" s="40"/>
      <c r="H62" s="42" t="n">
        <f aca="false">H9+H17+H24+H30+H37+H42+H49+H55+H60</f>
        <v>428350</v>
      </c>
    </row>
    <row r="63" customFormat="false" ht="15" hidden="false" customHeight="false" outlineLevel="0" collapsed="false">
      <c r="A63" s="14" t="s">
        <v>189</v>
      </c>
      <c r="B63" s="43"/>
      <c r="C63" s="43"/>
      <c r="D63" s="43"/>
      <c r="E63" s="43"/>
      <c r="F63" s="44" t="n">
        <f aca="false">Hypothèses!$B$5</f>
        <v>0.15</v>
      </c>
      <c r="G63" s="43"/>
      <c r="H63" s="45" t="n">
        <f aca="false">H62*Hypothèses!$B$5</f>
        <v>64252.5</v>
      </c>
    </row>
    <row r="64" customFormat="false" ht="15" hidden="false" customHeight="false" outlineLevel="0" collapsed="false">
      <c r="A64" s="46" t="s">
        <v>190</v>
      </c>
      <c r="B64" s="47"/>
      <c r="C64" s="47"/>
      <c r="D64" s="47"/>
      <c r="E64" s="47"/>
      <c r="F64" s="47"/>
      <c r="G64" s="47"/>
      <c r="H64" s="48" t="n">
        <f aca="false">H62+H63</f>
        <v>492602.5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25" t="s">
        <v>191</v>
      </c>
      <c r="B1" s="25"/>
      <c r="C1" s="25"/>
      <c r="D1" s="25"/>
      <c r="E1" s="25"/>
    </row>
    <row r="3" customFormat="false" ht="15" hidden="false" customHeight="false" outlineLevel="0" collapsed="false">
      <c r="A3" s="6" t="s">
        <v>192</v>
      </c>
      <c r="B3" s="6" t="s">
        <v>193</v>
      </c>
      <c r="C3" s="6" t="s">
        <v>194</v>
      </c>
      <c r="D3" s="6" t="s">
        <v>195</v>
      </c>
      <c r="E3" s="6" t="s">
        <v>196</v>
      </c>
    </row>
    <row r="4" customFormat="false" ht="22.35" hidden="false" customHeight="false" outlineLevel="0" collapsed="false">
      <c r="A4" s="26" t="s">
        <v>197</v>
      </c>
      <c r="B4" s="27" t="s">
        <v>198</v>
      </c>
      <c r="C4" s="30" t="s">
        <v>199</v>
      </c>
      <c r="D4" s="28" t="s">
        <v>55</v>
      </c>
      <c r="E4" s="27" t="s">
        <v>200</v>
      </c>
    </row>
    <row r="5" customFormat="false" ht="22.35" hidden="false" customHeight="false" outlineLevel="0" collapsed="false">
      <c r="A5" s="26" t="s">
        <v>201</v>
      </c>
      <c r="B5" s="27" t="s">
        <v>202</v>
      </c>
      <c r="C5" s="30" t="s">
        <v>199</v>
      </c>
      <c r="D5" s="30" t="s">
        <v>203</v>
      </c>
      <c r="E5" s="27" t="s">
        <v>204</v>
      </c>
    </row>
    <row r="6" customFormat="false" ht="15" hidden="false" customHeight="false" outlineLevel="0" collapsed="false">
      <c r="A6" s="26" t="s">
        <v>205</v>
      </c>
      <c r="B6" s="27" t="s">
        <v>206</v>
      </c>
      <c r="C6" s="28" t="s">
        <v>207</v>
      </c>
      <c r="D6" s="28" t="s">
        <v>55</v>
      </c>
      <c r="E6" s="27" t="s">
        <v>208</v>
      </c>
    </row>
    <row r="7" customFormat="false" ht="22.35" hidden="false" customHeight="false" outlineLevel="0" collapsed="false">
      <c r="A7" s="26" t="s">
        <v>209</v>
      </c>
      <c r="B7" s="27" t="s">
        <v>210</v>
      </c>
      <c r="C7" s="28" t="s">
        <v>207</v>
      </c>
      <c r="D7" s="28" t="s">
        <v>55</v>
      </c>
      <c r="E7" s="27" t="s">
        <v>211</v>
      </c>
    </row>
    <row r="8" customFormat="false" ht="15" hidden="false" customHeight="false" outlineLevel="0" collapsed="false">
      <c r="A8" s="26" t="s">
        <v>212</v>
      </c>
      <c r="B8" s="27" t="s">
        <v>213</v>
      </c>
      <c r="C8" s="30" t="s">
        <v>199</v>
      </c>
      <c r="D8" s="28" t="s">
        <v>55</v>
      </c>
      <c r="E8" s="27" t="s">
        <v>214</v>
      </c>
    </row>
    <row r="9" customFormat="false" ht="22.35" hidden="false" customHeight="false" outlineLevel="0" collapsed="false">
      <c r="A9" s="26" t="s">
        <v>215</v>
      </c>
      <c r="B9" s="27" t="s">
        <v>216</v>
      </c>
      <c r="C9" s="28" t="s">
        <v>207</v>
      </c>
      <c r="D9" s="28" t="s">
        <v>55</v>
      </c>
      <c r="E9" s="27" t="s">
        <v>217</v>
      </c>
    </row>
    <row r="10" customFormat="false" ht="22.35" hidden="false" customHeight="false" outlineLevel="0" collapsed="false">
      <c r="A10" s="26" t="s">
        <v>218</v>
      </c>
      <c r="B10" s="27" t="s">
        <v>219</v>
      </c>
      <c r="C10" s="28" t="s">
        <v>207</v>
      </c>
      <c r="D10" s="30" t="s">
        <v>203</v>
      </c>
      <c r="E10" s="27" t="s">
        <v>220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2026-07-10T08:36:59Z</dcterms:created>
  <dc:creator>openpyxl</dc:creator>
  <dc:description/>
  <dc:language>en-US</dc:language>
  <cp:lastModifiedBy/>
  <dcterms:modified xsi:type="dcterms:W3CDTF">2026-07-10T08:37:01Z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